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rique AWS" sheetId="1" r:id="rId5"/>
  </sheets>
  <definedNames/>
  <calcPr/>
</workbook>
</file>

<file path=xl/sharedStrings.xml><?xml version="1.0" encoding="utf-8"?>
<sst xmlns="http://schemas.openxmlformats.org/spreadsheetml/2006/main" count="29" uniqueCount="29">
  <si>
    <t>ESTIMATION DES COÛTS D'ARCHITECTURE AWS</t>
  </si>
  <si>
    <t>Synthèse financière et métriques techniques | Document calibré pour impression A4</t>
  </si>
  <si>
    <t>BUDGET MENSUEL ESTIMÉ</t>
  </si>
  <si>
    <t>POSTE PRINCIPAL (ANALYTIQUE)</t>
  </si>
  <si>
    <t>COMPOSANTS DÉPLOYÉS</t>
  </si>
  <si>
    <t>PROJECTION ANNUELLE</t>
  </si>
  <si>
    <t>Amazon Redshift (78,9 %)</t>
  </si>
  <si>
    <t>6 services actifs</t>
  </si>
  <si>
    <t>Composant Cloud</t>
  </si>
  <si>
    <t>Usage technique &amp; Métriques de facturation</t>
  </si>
  <si>
    <t>Coût mensuel (€)</t>
  </si>
  <si>
    <t>Part du budget</t>
  </si>
  <si>
    <t>Projection annuelle (€)</t>
  </si>
  <si>
    <t>Amazon S3 (Data Lake)</t>
  </si>
  <si>
    <t>Stockage : ~50 000 Go (10 To SAN + 40 To staging DMS). Métrique : ~0,024 € / Go / mois (Classe S3 Standard).</t>
  </si>
  <si>
    <t>Amazon Redshift</t>
  </si>
  <si>
    <t>Cluster RA3 (ex: 4 nœuds ra3.4xlarge) pour requêtes analytiques complexes sur 40 To. Métrique : ~3,00 € / heure / nœud (~2 190 €/mois/nœud).</t>
  </si>
  <si>
    <t>AWS DMS</t>
  </si>
  <si>
    <t>2 instances de réplication (dms.r5.xlarge) pour maintenir le flux CDC (milliers de transactions/jour depuis l'ERP/CRM). Métrique : ~0,30 € / heure / instance.</t>
  </si>
  <si>
    <t>Redpanda (sur EC2)</t>
  </si>
  <si>
    <t>Cluster de 3 instances (m5.xlarge) + disques SSD EBS pour encaisser les 50 Go/mois d'IoT en temps réel. Métrique : ~0,21 € / heure / instance + stockage.</t>
  </si>
  <si>
    <t>IAM Identity Center</t>
  </si>
  <si>
    <t>Fédération SSO avec l'Active Directory existant. Métrique : Service inclus sans surcoût (gratuit).</t>
  </si>
  <si>
    <t>Amazon CloudWatch</t>
  </si>
  <si>
    <t>Ingestion de logs et tableaux de bord (base estimée à 250 Go de logs). Métriques : ~0,60 € / Go ingéré et ~0,30 € / métrique custom.</t>
  </si>
  <si>
    <t>Total mensuel</t>
  </si>
  <si>
    <t>Infrastructure globale (6 services AWS)</t>
  </si>
  <si>
    <t>Note de facturation :</t>
  </si>
  <si>
    <t>Estimations calculées sur une base mensuelle standard (730 heures/mois, tarification indicative AWS Europe). Coûts réels ajustés selon le volume effectif de données.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</si>
</sst>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 €"/>
    <numFmt numFmtId="165" formatCode="#,##0&quot;€&quot;"/>
    <numFmt numFmtId="166" formatCode="0.0%"/>
  </numFmts>
  <fonts count="14">
    <font>
      <sz val="10.0"/>
      <color rgb="FF000000"/>
      <name val="Arial"/>
      <scheme val="minor"/>
    </font>
    <font>
      <b/>
      <sz val="15.0"/>
      <color rgb="FF111C33"/>
      <name val="Arial"/>
      <scheme val="minor"/>
    </font>
    <font>
      <sz val="10.0"/>
      <color rgb="FF63728C"/>
      <name val="Arial"/>
      <scheme val="minor"/>
    </font>
    <font>
      <color theme="1"/>
      <name val="Arial"/>
      <scheme val="minor"/>
    </font>
    <font>
      <b/>
      <sz val="8.0"/>
      <color rgb="FF475670"/>
      <name val="Roboto"/>
    </font>
    <font/>
    <font>
      <b/>
      <sz val="12.0"/>
      <color rgb="FF1E2D51"/>
      <name val="Roboto"/>
    </font>
    <font>
      <b/>
      <sz val="10.0"/>
      <color rgb="FFFFFFFF"/>
      <name val="Roboto"/>
    </font>
    <font>
      <b/>
      <sz val="9.0"/>
      <color rgb="FF19263F"/>
      <name val="Roboto"/>
    </font>
    <font>
      <sz val="9.0"/>
      <color rgb="FF3F4959"/>
      <name val="Roboto"/>
    </font>
    <font>
      <b/>
      <sz val="9.0"/>
      <color rgb="FF141E33"/>
      <name val="Roboto"/>
    </font>
    <font>
      <sz val="9.0"/>
      <color rgb="FF4C5972"/>
      <name val="Roboto"/>
    </font>
    <font>
      <b/>
      <sz val="10.0"/>
      <color rgb="FF192D6B"/>
      <name val="Roboto"/>
    </font>
    <font>
      <i/>
      <sz val="8.0"/>
      <color rgb="FF66728C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EDF2F7"/>
        <bgColor rgb="FFEDF2F7"/>
      </patternFill>
    </fill>
    <fill>
      <patternFill patternType="solid">
        <fgColor rgb="FFF7F9FC"/>
        <bgColor rgb="FFF7F9FC"/>
      </patternFill>
    </fill>
    <fill>
      <patternFill patternType="solid">
        <fgColor rgb="FF1E3A89"/>
        <bgColor rgb="FF1E3A89"/>
      </patternFill>
    </fill>
    <fill>
      <patternFill patternType="solid">
        <fgColor rgb="FFEAEFF9"/>
        <bgColor rgb="FFEAEFF9"/>
      </patternFill>
    </fill>
  </fills>
  <borders count="23">
    <border/>
    <border>
      <left style="thin">
        <color rgb="FFD1DBE8"/>
      </left>
      <right style="thin">
        <color rgb="FFE0E8EF"/>
      </right>
      <top style="thin">
        <color rgb="FFD1DBE8"/>
      </top>
      <bottom style="thin">
        <color rgb="FFE0E8EF"/>
      </bottom>
    </border>
    <border>
      <left style="thin">
        <color rgb="FFE0E8EF"/>
      </left>
      <right style="thin">
        <color rgb="FFE0E8EF"/>
      </right>
      <top style="thin">
        <color rgb="FFD1DBE8"/>
      </top>
      <bottom style="thin">
        <color rgb="FFE0E8EF"/>
      </bottom>
    </border>
    <border>
      <left style="thin">
        <color rgb="FFE0E8EF"/>
      </left>
      <top style="thin">
        <color rgb="FFD1DBE8"/>
      </top>
      <bottom style="thin">
        <color rgb="FFE0E8EF"/>
      </bottom>
    </border>
    <border>
      <right style="thin">
        <color rgb="FFE0E8EF"/>
      </right>
      <top style="thin">
        <color rgb="FFD1DBE8"/>
      </top>
      <bottom style="thin">
        <color rgb="FFE0E8EF"/>
      </bottom>
    </border>
    <border>
      <left style="thin">
        <color rgb="FFE0E8EF"/>
      </left>
      <right style="thin">
        <color rgb="FFD1DBE8"/>
      </right>
      <top style="thin">
        <color rgb="FFD1DBE8"/>
      </top>
      <bottom style="thin">
        <color rgb="FFE0E8EF"/>
      </bottom>
    </border>
    <border>
      <left style="thin">
        <color rgb="FFD1DBE8"/>
      </left>
      <right style="thin">
        <color rgb="FFE0E8EF"/>
      </right>
      <top style="thin">
        <color rgb="FFE0E8EF"/>
      </top>
      <bottom style="thin">
        <color rgb="FFD1DBE8"/>
      </bottom>
    </border>
    <border>
      <left style="thin">
        <color rgb="FFE0E8EF"/>
      </left>
      <right style="thin">
        <color rgb="FFE0E8EF"/>
      </right>
      <top style="thin">
        <color rgb="FFE0E8EF"/>
      </top>
      <bottom style="thin">
        <color rgb="FFD1DBE8"/>
      </bottom>
    </border>
    <border>
      <left style="thin">
        <color rgb="FFE0E8EF"/>
      </left>
      <top style="thin">
        <color rgb="FFE0E8EF"/>
      </top>
      <bottom style="thin">
        <color rgb="FFD1DBE8"/>
      </bottom>
    </border>
    <border>
      <right style="thin">
        <color rgb="FFE0E8EF"/>
      </right>
      <top style="thin">
        <color rgb="FFE0E8EF"/>
      </top>
      <bottom style="thin">
        <color rgb="FFD1DBE8"/>
      </bottom>
    </border>
    <border>
      <left style="thin">
        <color rgb="FFE0E8EF"/>
      </left>
      <right style="thin">
        <color rgb="FFD1DBE8"/>
      </right>
      <top style="thin">
        <color rgb="FFE0E8EF"/>
      </top>
      <bottom style="thin">
        <color rgb="FFD1DBE8"/>
      </bottom>
    </border>
    <border>
      <left style="thin">
        <color rgb="FFCCD6E5"/>
      </left>
      <bottom style="thin">
        <color rgb="FFE0E8EF"/>
      </bottom>
    </border>
    <border>
      <bottom style="thin">
        <color rgb="FFE0E8EF"/>
      </bottom>
    </border>
    <border>
      <right style="thin">
        <color rgb="FFCCD6E5"/>
      </right>
      <bottom style="thin">
        <color rgb="FFE0E8EF"/>
      </bottom>
    </border>
    <border>
      <left style="thin">
        <color rgb="FFCCD6E5"/>
      </left>
      <top style="thin">
        <color rgb="FFE0E8EF"/>
      </top>
      <bottom style="thin">
        <color rgb="FFE0E8EF"/>
      </bottom>
    </border>
    <border>
      <top style="thin">
        <color rgb="FFE0E8EF"/>
      </top>
      <bottom style="thin">
        <color rgb="FFE0E8EF"/>
      </bottom>
    </border>
    <border>
      <right style="thin">
        <color rgb="FFCCD6E5"/>
      </right>
      <top style="thin">
        <color rgb="FFE0E8EF"/>
      </top>
      <bottom style="thin">
        <color rgb="FFE0E8EF"/>
      </bottom>
    </border>
    <border>
      <left style="thin">
        <color rgb="FFCCD6E5"/>
      </left>
      <top style="thin">
        <color rgb="FFE0E8EF"/>
      </top>
    </border>
    <border>
      <top style="thin">
        <color rgb="FFE0E8EF"/>
      </top>
    </border>
    <border>
      <right style="thin">
        <color rgb="FFCCD6E5"/>
      </right>
      <top style="thin">
        <color rgb="FFE0E8EF"/>
      </top>
    </border>
    <border>
      <left style="thin">
        <color rgb="FFCCD6E5"/>
      </left>
      <top style="medium">
        <color rgb="FF1E3A89"/>
      </top>
      <bottom style="double">
        <color rgb="FF1E3A89"/>
      </bottom>
    </border>
    <border>
      <top style="medium">
        <color rgb="FF1E3A89"/>
      </top>
      <bottom style="double">
        <color rgb="FF1E3A89"/>
      </bottom>
    </border>
    <border>
      <right style="thin">
        <color rgb="FFCCD6E5"/>
      </right>
      <top style="medium">
        <color rgb="FF1E3A89"/>
      </top>
      <bottom style="double">
        <color rgb="FF1E3A89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shrinkToFit="0" wrapText="1"/>
    </xf>
    <xf borderId="1" fillId="2" fontId="4" numFmtId="0" xfId="0" applyAlignment="1" applyBorder="1" applyFill="1" applyFont="1">
      <alignment horizontal="center" readingOrder="0" shrinkToFit="0" vertical="center" wrapText="1"/>
    </xf>
    <xf borderId="2" fillId="2" fontId="4" numFmtId="0" xfId="0" applyAlignment="1" applyBorder="1" applyFill="1" applyFont="1">
      <alignment horizontal="center" readingOrder="0" shrinkToFit="0" vertical="center" wrapText="1"/>
    </xf>
    <xf borderId="3" fillId="2" fontId="4" numFmtId="0" xfId="0" applyAlignment="1" applyBorder="1" applyFill="1" applyFont="1">
      <alignment horizontal="center" readingOrder="0" shrinkToFit="0" vertical="center" wrapText="1"/>
    </xf>
    <xf borderId="4" fillId="0" fontId="5" numFmtId="0" xfId="0" applyBorder="1" applyFont="1"/>
    <xf borderId="5" fillId="2" fontId="4" numFmtId="0" xfId="0" applyAlignment="1" applyBorder="1" applyFill="1" applyFont="1">
      <alignment horizontal="center" readingOrder="0" shrinkToFit="0" vertical="center" wrapText="1"/>
    </xf>
    <xf borderId="6" fillId="3" fontId="6" numFmtId="164" xfId="0" applyAlignment="1" applyBorder="1" applyFill="1" applyFont="1" applyNumberFormat="1">
      <alignment horizontal="center" readingOrder="0" shrinkToFit="0" vertical="center" wrapText="1"/>
    </xf>
    <xf borderId="7" fillId="3" fontId="6" numFmtId="0" xfId="0" applyAlignment="1" applyBorder="1" applyFill="1" applyFont="1">
      <alignment horizontal="center" readingOrder="0" shrinkToFit="0" vertical="center" wrapText="1"/>
    </xf>
    <xf borderId="8" fillId="3" fontId="6" numFmtId="0" xfId="0" applyAlignment="1" applyBorder="1" applyFill="1" applyFont="1">
      <alignment horizontal="center" readingOrder="0" shrinkToFit="0" vertical="center" wrapText="1"/>
    </xf>
    <xf borderId="9" fillId="0" fontId="5" numFmtId="0" xfId="0" applyBorder="1" applyFont="1"/>
    <xf borderId="10" fillId="3" fontId="6" numFmtId="164" xfId="0" applyAlignment="1" applyBorder="1" applyFill="1" applyFont="1" applyNumberFormat="1">
      <alignment horizontal="center" readingOrder="0" shrinkToFit="0" vertical="center" wrapText="1"/>
    </xf>
    <xf borderId="0" fillId="0" fontId="3" numFmtId="165" xfId="0" applyAlignment="1" applyFont="1" applyNumberFormat="1">
      <alignment readingOrder="0" shrinkToFit="0" wrapText="1"/>
    </xf>
    <xf borderId="0" fillId="4" fontId="7" numFmtId="0" xfId="0" applyAlignment="1" applyFill="1" applyFont="1">
      <alignment horizontal="left" readingOrder="0" shrinkToFit="0" vertical="center" wrapText="1"/>
    </xf>
    <xf borderId="0" fillId="4" fontId="7" numFmtId="0" xfId="0" applyAlignment="1" applyFill="1" applyFont="1">
      <alignment horizontal="right" readingOrder="0" shrinkToFit="0" vertical="center" wrapText="1"/>
    </xf>
    <xf borderId="11" fillId="0" fontId="8" numFmtId="0" xfId="0" applyAlignment="1" applyBorder="1" applyFont="1">
      <alignment horizontal="left" readingOrder="0" shrinkToFit="0" vertical="center" wrapText="1"/>
    </xf>
    <xf borderId="12" fillId="0" fontId="9" numFmtId="0" xfId="0" applyAlignment="1" applyBorder="1" applyFont="1">
      <alignment horizontal="left" readingOrder="0" shrinkToFit="0" vertical="center" wrapText="1"/>
    </xf>
    <xf borderId="12" fillId="0" fontId="10" numFmtId="164" xfId="0" applyAlignment="1" applyBorder="1" applyFont="1" applyNumberFormat="1">
      <alignment horizontal="right" readingOrder="0" shrinkToFit="0" vertical="center" wrapText="1"/>
    </xf>
    <xf borderId="12" fillId="0" fontId="11" numFmtId="166" xfId="0" applyAlignment="1" applyBorder="1" applyFont="1" applyNumberFormat="1">
      <alignment horizontal="right" shrinkToFit="0" vertical="center" wrapText="1"/>
    </xf>
    <xf borderId="13" fillId="0" fontId="10" numFmtId="164" xfId="0" applyAlignment="1" applyBorder="1" applyFont="1" applyNumberFormat="1">
      <alignment horizontal="right" shrinkToFit="0" vertical="center" wrapText="1"/>
    </xf>
    <xf borderId="14" fillId="3" fontId="8" numFmtId="0" xfId="0" applyAlignment="1" applyBorder="1" applyFill="1" applyFont="1">
      <alignment horizontal="left" readingOrder="0" shrinkToFit="0" vertical="center" wrapText="1"/>
    </xf>
    <xf borderId="15" fillId="3" fontId="9" numFmtId="0" xfId="0" applyAlignment="1" applyBorder="1" applyFill="1" applyFont="1">
      <alignment horizontal="left" readingOrder="0" shrinkToFit="0" vertical="center" wrapText="1"/>
    </xf>
    <xf borderId="15" fillId="3" fontId="10" numFmtId="164" xfId="0" applyAlignment="1" applyBorder="1" applyFill="1" applyFont="1" applyNumberFormat="1">
      <alignment horizontal="right" readingOrder="0" shrinkToFit="0" vertical="center" wrapText="1"/>
    </xf>
    <xf borderId="15" fillId="3" fontId="11" numFmtId="166" xfId="0" applyAlignment="1" applyBorder="1" applyFill="1" applyFont="1" applyNumberFormat="1">
      <alignment horizontal="right" shrinkToFit="0" vertical="center" wrapText="1"/>
    </xf>
    <xf borderId="16" fillId="3" fontId="10" numFmtId="164" xfId="0" applyAlignment="1" applyBorder="1" applyFill="1" applyFont="1" applyNumberFormat="1">
      <alignment horizontal="right" shrinkToFit="0" vertical="center" wrapText="1"/>
    </xf>
    <xf borderId="14" fillId="0" fontId="8" numFmtId="0" xfId="0" applyAlignment="1" applyBorder="1" applyFont="1">
      <alignment horizontal="left" readingOrder="0" shrinkToFit="0" vertical="center" wrapText="1"/>
    </xf>
    <xf borderId="15" fillId="0" fontId="9" numFmtId="0" xfId="0" applyAlignment="1" applyBorder="1" applyFont="1">
      <alignment horizontal="left" readingOrder="0" shrinkToFit="0" vertical="center" wrapText="1"/>
    </xf>
    <xf borderId="15" fillId="0" fontId="10" numFmtId="164" xfId="0" applyAlignment="1" applyBorder="1" applyFont="1" applyNumberFormat="1">
      <alignment horizontal="right" readingOrder="0" shrinkToFit="0" vertical="center" wrapText="1"/>
    </xf>
    <xf borderId="15" fillId="0" fontId="11" numFmtId="166" xfId="0" applyAlignment="1" applyBorder="1" applyFont="1" applyNumberFormat="1">
      <alignment horizontal="right" shrinkToFit="0" vertical="center" wrapText="1"/>
    </xf>
    <xf borderId="16" fillId="0" fontId="10" numFmtId="164" xfId="0" applyAlignment="1" applyBorder="1" applyFont="1" applyNumberFormat="1">
      <alignment horizontal="right" shrinkToFit="0" vertical="center" wrapText="1"/>
    </xf>
    <xf borderId="17" fillId="3" fontId="8" numFmtId="0" xfId="0" applyAlignment="1" applyBorder="1" applyFill="1" applyFont="1">
      <alignment horizontal="left" readingOrder="0" shrinkToFit="0" vertical="center" wrapText="1"/>
    </xf>
    <xf borderId="18" fillId="3" fontId="9" numFmtId="0" xfId="0" applyAlignment="1" applyBorder="1" applyFill="1" applyFont="1">
      <alignment horizontal="left" readingOrder="0" shrinkToFit="0" vertical="center" wrapText="1"/>
    </xf>
    <xf borderId="18" fillId="3" fontId="10" numFmtId="164" xfId="0" applyAlignment="1" applyBorder="1" applyFill="1" applyFont="1" applyNumberFormat="1">
      <alignment horizontal="right" readingOrder="0" shrinkToFit="0" vertical="center" wrapText="1"/>
    </xf>
    <xf borderId="18" fillId="3" fontId="11" numFmtId="166" xfId="0" applyAlignment="1" applyBorder="1" applyFill="1" applyFont="1" applyNumberFormat="1">
      <alignment horizontal="right" shrinkToFit="0" vertical="center" wrapText="1"/>
    </xf>
    <xf borderId="19" fillId="3" fontId="10" numFmtId="164" xfId="0" applyAlignment="1" applyBorder="1" applyFill="1" applyFont="1" applyNumberFormat="1">
      <alignment horizontal="right" shrinkToFit="0" vertical="center" wrapText="1"/>
    </xf>
    <xf borderId="20" fillId="5" fontId="12" numFmtId="0" xfId="0" applyAlignment="1" applyBorder="1" applyFill="1" applyFont="1">
      <alignment readingOrder="0" shrinkToFit="0" vertical="center" wrapText="1"/>
    </xf>
    <xf borderId="21" fillId="5" fontId="12" numFmtId="0" xfId="0" applyAlignment="1" applyBorder="1" applyFill="1" applyFont="1">
      <alignment readingOrder="0" shrinkToFit="0" vertical="center" wrapText="1"/>
    </xf>
    <xf borderId="21" fillId="5" fontId="12" numFmtId="164" xfId="0" applyAlignment="1" applyBorder="1" applyFill="1" applyFont="1" applyNumberFormat="1">
      <alignment horizontal="right" shrinkToFit="0" vertical="center" wrapText="1"/>
    </xf>
    <xf borderId="21" fillId="5" fontId="12" numFmtId="166" xfId="0" applyAlignment="1" applyBorder="1" applyFill="1" applyFont="1" applyNumberFormat="1">
      <alignment horizontal="right" shrinkToFit="0" vertical="center" wrapText="1"/>
    </xf>
    <xf borderId="22" fillId="5" fontId="12" numFmtId="164" xfId="0" applyAlignment="1" applyBorder="1" applyFill="1" applyFont="1" applyNumberFormat="1">
      <alignment horizontal="right" shrinkToFit="0" vertical="center" wrapText="1"/>
    </xf>
    <xf borderId="0" fillId="0" fontId="13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38.88"/>
    <col customWidth="1" min="3" max="3" width="12.63"/>
    <col customWidth="1" min="4" max="4" width="10.75"/>
    <col customWidth="1" min="5" max="5" width="14.5"/>
  </cols>
  <sheetData>
    <row r="1" ht="24.0" customHeight="1">
      <c r="A1" s="1" t="s">
        <v>0</v>
      </c>
    </row>
    <row r="2" ht="16.5" customHeight="1">
      <c r="A2" s="2" t="s">
        <v>1</v>
      </c>
    </row>
    <row r="3" ht="7.5" customHeight="1">
      <c r="A3" s="3"/>
      <c r="B3" s="3"/>
      <c r="C3" s="3"/>
      <c r="D3" s="3"/>
      <c r="E3" s="3"/>
    </row>
    <row r="4" ht="21.0" customHeight="1">
      <c r="A4" s="4" t="s">
        <v>2</v>
      </c>
      <c r="B4" s="5" t="s">
        <v>3</v>
      </c>
      <c r="C4" s="6" t="s">
        <v>4</v>
      </c>
      <c r="D4" s="7"/>
      <c r="E4" s="8" t="s">
        <v>5</v>
      </c>
    </row>
    <row r="5" ht="27.0" customHeight="1">
      <c r="A5" s="9">
        <f>C14</f>
        <v>11098</v>
      </c>
      <c r="B5" s="10" t="s">
        <v>6</v>
      </c>
      <c r="C5" s="11" t="s">
        <v>7</v>
      </c>
      <c r="D5" s="12"/>
      <c r="E5" s="13">
        <f>E14</f>
        <v>133176</v>
      </c>
    </row>
    <row r="6" ht="10.5" customHeight="1">
      <c r="A6" s="3"/>
      <c r="B6" s="3"/>
      <c r="C6" s="14"/>
      <c r="D6" s="3"/>
      <c r="E6" s="3"/>
    </row>
    <row r="7" ht="27.0" customHeight="1">
      <c r="A7" s="15" t="s">
        <v>8</v>
      </c>
      <c r="B7" s="15" t="s">
        <v>9</v>
      </c>
      <c r="C7" s="16" t="s">
        <v>10</v>
      </c>
      <c r="D7" s="16" t="s">
        <v>11</v>
      </c>
      <c r="E7" s="16" t="s">
        <v>12</v>
      </c>
    </row>
    <row r="8">
      <c r="A8" s="17" t="s">
        <v>13</v>
      </c>
      <c r="B8" s="18" t="s">
        <v>14</v>
      </c>
      <c r="C8" s="19">
        <v>1200.0</v>
      </c>
      <c r="D8" s="20">
        <f t="shared" ref="D8:D13" si="1">C8/$C$14</f>
        <v>0.1081275906</v>
      </c>
      <c r="E8" s="21">
        <f t="shared" ref="E8:E13" si="2">C8*12</f>
        <v>14400</v>
      </c>
    </row>
    <row r="9">
      <c r="A9" s="22" t="s">
        <v>15</v>
      </c>
      <c r="B9" s="23" t="s">
        <v>16</v>
      </c>
      <c r="C9" s="24">
        <v>8760.0</v>
      </c>
      <c r="D9" s="25">
        <f t="shared" si="1"/>
        <v>0.7893314111</v>
      </c>
      <c r="E9" s="26">
        <f t="shared" si="2"/>
        <v>105120</v>
      </c>
    </row>
    <row r="10">
      <c r="A10" s="27" t="s">
        <v>17</v>
      </c>
      <c r="B10" s="28" t="s">
        <v>18</v>
      </c>
      <c r="C10" s="29">
        <v>438.0</v>
      </c>
      <c r="D10" s="30">
        <f t="shared" si="1"/>
        <v>0.03946657055</v>
      </c>
      <c r="E10" s="31">
        <f t="shared" si="2"/>
        <v>5256</v>
      </c>
    </row>
    <row r="11">
      <c r="A11" s="22" t="s">
        <v>19</v>
      </c>
      <c r="B11" s="23" t="s">
        <v>20</v>
      </c>
      <c r="C11" s="24">
        <v>550.0</v>
      </c>
      <c r="D11" s="25">
        <f t="shared" si="1"/>
        <v>0.04955847901</v>
      </c>
      <c r="E11" s="26">
        <f t="shared" si="2"/>
        <v>6600</v>
      </c>
    </row>
    <row r="12">
      <c r="A12" s="27" t="s">
        <v>21</v>
      </c>
      <c r="B12" s="28" t="s">
        <v>22</v>
      </c>
      <c r="C12" s="29">
        <v>0.0</v>
      </c>
      <c r="D12" s="30">
        <f t="shared" si="1"/>
        <v>0</v>
      </c>
      <c r="E12" s="31">
        <f t="shared" si="2"/>
        <v>0</v>
      </c>
    </row>
    <row r="13">
      <c r="A13" s="32" t="s">
        <v>23</v>
      </c>
      <c r="B13" s="33" t="s">
        <v>24</v>
      </c>
      <c r="C13" s="34">
        <v>150.0</v>
      </c>
      <c r="D13" s="35">
        <f t="shared" si="1"/>
        <v>0.01351594882</v>
      </c>
      <c r="E13" s="36">
        <f t="shared" si="2"/>
        <v>1800</v>
      </c>
    </row>
    <row r="14" ht="24.0" customHeight="1">
      <c r="A14" s="37" t="s">
        <v>25</v>
      </c>
      <c r="B14" s="38" t="s">
        <v>26</v>
      </c>
      <c r="C14" s="39">
        <f t="shared" ref="C14:E14" si="3">SUM(C8:C13)</f>
        <v>11098</v>
      </c>
      <c r="D14" s="40">
        <f t="shared" si="3"/>
        <v>1</v>
      </c>
      <c r="E14" s="41">
        <f t="shared" si="3"/>
        <v>133176</v>
      </c>
    </row>
    <row r="15" ht="9.0" customHeight="1">
      <c r="A15" s="3"/>
      <c r="B15" s="3"/>
      <c r="C15" s="3"/>
      <c r="D15" s="3"/>
      <c r="E15" s="3"/>
    </row>
    <row r="16" ht="30.0" customHeight="1">
      <c r="A16" s="42" t="s">
        <v>27</v>
      </c>
      <c r="B16" s="42" t="s">
        <v>28</v>
      </c>
    </row>
    <row r="17">
      <c r="A17" s="3"/>
      <c r="B17" s="3"/>
      <c r="C17" s="3"/>
      <c r="D17" s="3"/>
      <c r="E17" s="3"/>
    </row>
  </sheetData>
  <mergeCells count="5">
    <mergeCell ref="A1:E1"/>
    <mergeCell ref="A2:E2"/>
    <mergeCell ref="C4:D4"/>
    <mergeCell ref="C5:D5"/>
    <mergeCell ref="B16:E16"/>
  </mergeCells>
  <drawing r:id="rId1"/>
</worksheet>
</file>